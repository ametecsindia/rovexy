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Test Cases" sheetId="2" state="visible" r:id="rId4"/>
  </sheets>
  <definedNames>
    <definedName function="false" hidden="true" localSheetId="1" name="_xlnm._FilterDatabase" vbProcedure="false">'Test Cases'!$A$4:$N$45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<sst xmlns="http://schemas.openxmlformats.org/spreadsheetml/2006/main" count="483" uniqueCount="257">
  <si>
    <t xml:space="preserve">Test summary by system</t>
  </si>
  <si>
    <t xml:space="preserve">System</t>
  </si>
  <si>
    <t xml:space="preserve">Total</t>
  </si>
  <si>
    <t xml:space="preserve">Automated</t>
  </si>
  <si>
    <t xml:space="preserve">Manual</t>
  </si>
  <si>
    <t xml:space="preserve">Pass</t>
  </si>
  <si>
    <t xml:space="preserve">Fail</t>
  </si>
  <si>
    <t xml:space="preserve">Blocked</t>
  </si>
  <si>
    <t xml:space="preserve">Not run</t>
  </si>
  <si>
    <t xml:space="preserve">% passed</t>
  </si>
  <si>
    <t xml:space="preserve">SmartPRS2</t>
  </si>
  <si>
    <t xml:space="preserve">SmartEPT</t>
  </si>
  <si>
    <t xml:space="preserve">Caller</t>
  </si>
  <si>
    <t xml:space="preserve">Android app</t>
  </si>
  <si>
    <t xml:space="preserve">End to end</t>
  </si>
  <si>
    <t xml:space="preserve">Counts update automatically from the Status column on the Test Cases sheet.</t>
  </si>
  <si>
    <t xml:space="preserve">Caller ⇄ SmartPRS2 ⇄ SmartEPT — Field-force integration test cases (6 Oct 2026)</t>
  </si>
  <si>
    <t xml:space="preserve">Fill in: Status (dropdown), Tested by, Test date, Remarks (yellow columns). 'Auto' rows were run in a clean test environment on 6 Oct 2026 and passed; re-run them with php artisan test / composer test.</t>
  </si>
  <si>
    <t xml:space="preserve">Test ID</t>
  </si>
  <si>
    <t xml:space="preserve">Area</t>
  </si>
  <si>
    <t xml:space="preserve">Scenario</t>
  </si>
  <si>
    <t xml:space="preserve">Preconditions</t>
  </si>
  <si>
    <t xml:space="preserve">Steps</t>
  </si>
  <si>
    <t xml:space="preserve">Test data</t>
  </si>
  <si>
    <t xml:space="preserve">Expected result</t>
  </si>
  <si>
    <t xml:space="preserve">Type</t>
  </si>
  <si>
    <t xml:space="preserve">Automated test</t>
  </si>
  <si>
    <t xml:space="preserve">Status</t>
  </si>
  <si>
    <t xml:space="preserve">Tested by</t>
  </si>
  <si>
    <t xml:space="preserve">Test date</t>
  </si>
  <si>
    <t xml:space="preserve">Remarks</t>
  </si>
  <si>
    <t xml:space="preserve">PRS-01</t>
  </si>
  <si>
    <t xml:space="preserve">Geofence check</t>
  </si>
  <si>
    <t xml:space="preserve">Employee inside fence can sign in</t>
  </si>
  <si>
    <t xml:space="preserve">Employee FF01 has strict 0.5 km fence at office 17.4600, 78.3600; API key with scope ingest</t>
  </si>
  <si>
    <t xml:space="preserve">POST /api/v1/fieldforce/geofence/check</t>
  </si>
  <si>
    <t xml:space="preserve">emp_code=ff01, lat=17.4610, lng=78.3605</t>
  </si>
  <si>
    <t xml:space="preserve">200; allowed=true; status=within</t>
  </si>
  <si>
    <t xml:space="preserve">Auto</t>
  </si>
  <si>
    <t xml:space="preserve">CallerFieldForceTest: allows sign-in inside the fence</t>
  </si>
  <si>
    <t xml:space="preserve">Claude (automated)</t>
  </si>
  <si>
    <t xml:space="preserve">PRS-02</t>
  </si>
  <si>
    <t xml:space="preserve">Employee outside fence is blocked</t>
  </si>
  <si>
    <t xml:space="preserve">Same as PRS-01</t>
  </si>
  <si>
    <t xml:space="preserve">POST geofence/check</t>
  </si>
  <si>
    <t xml:space="preserve">lat=17.3850, lng=78.4867 (~13 km away)</t>
  </si>
  <si>
    <t xml:space="preserve">200; allowed=false; status=outside; message shows distance and limit</t>
  </si>
  <si>
    <t xml:space="preserve">CallerFieldForceTest: …blocks it outside</t>
  </si>
  <si>
    <t xml:space="preserve">PRS-03</t>
  </si>
  <si>
    <t xml:space="preserve">No GPS with strict fence</t>
  </si>
  <si>
    <t xml:space="preserve">POST geofence/check without lat/lng</t>
  </si>
  <si>
    <t xml:space="preserve">emp_code=FF01</t>
  </si>
  <si>
    <t xml:space="preserve">allowed=false; status=no-gps; message asks to turn on location</t>
  </si>
  <si>
    <t xml:space="preserve">PRS-04</t>
  </si>
  <si>
    <t xml:space="preserve">No GPS with 1 km / 2 km fence</t>
  </si>
  <si>
    <t xml:space="preserve">Fence Outside = 1km</t>
  </si>
  <si>
    <t xml:space="preserve">emp_code with 1km fence</t>
  </si>
  <si>
    <t xml:space="preserve">allowed=true; status=no-gps</t>
  </si>
  <si>
    <t xml:space="preserve">PRS-05</t>
  </si>
  <si>
    <t xml:space="preserve">Employee with no fence rule</t>
  </si>
  <si>
    <t xml:space="preserve">Employee FF02, no geofence_rules row</t>
  </si>
  <si>
    <t xml:space="preserve">emp_code=FF02, lat=1, lng=1</t>
  </si>
  <si>
    <t xml:space="preserve">allowed=true; status=no-rule</t>
  </si>
  <si>
    <t xml:space="preserve">CallerFieldForceTest: lets employees without a fence…</t>
  </si>
  <si>
    <t xml:space="preserve">PRS-06</t>
  </si>
  <si>
    <t xml:space="preserve">Code unknown to PRS</t>
  </si>
  <si>
    <t xml:space="preserve">—</t>
  </si>
  <si>
    <t xml:space="preserve">emp_code=NOPE</t>
  </si>
  <si>
    <t xml:space="preserve">allowed=true; employee_found=false</t>
  </si>
  <si>
    <t xml:space="preserve">PRS-07</t>
  </si>
  <si>
    <t xml:space="preserve">Grace distance applied (1 km mode)</t>
  </si>
  <si>
    <t xml:space="preserve">Fence 0.5 km, Outside=1km</t>
  </si>
  <si>
    <t xml:space="preserve">POST geofence/check at ~1.2 km</t>
  </si>
  <si>
    <t xml:space="preserve">point 1.2 km from start</t>
  </si>
  <si>
    <t xml:space="preserve">allowed=true (limit 1.5 km); status=within</t>
  </si>
  <si>
    <t xml:space="preserve">PRS-08</t>
  </si>
  <si>
    <t xml:space="preserve">Security</t>
  </si>
  <si>
    <t xml:space="preserve">Call without API key</t>
  </si>
  <si>
    <t xml:space="preserve">POST geofence/check, no X-Api-Key</t>
  </si>
  <si>
    <t xml:space="preserve">emp_code=X</t>
  </si>
  <si>
    <t xml:space="preserve">401 API_KEY_401</t>
  </si>
  <si>
    <t xml:space="preserve">CallerFieldForceTest: refuses calls without a key</t>
  </si>
  <si>
    <t xml:space="preserve">PRS-09</t>
  </si>
  <si>
    <t xml:space="preserve">Key from another workspace cannot see employee</t>
  </si>
  <si>
    <t xml:space="preserve">Key bound to tenant B; employee in tenant A</t>
  </si>
  <si>
    <t xml:space="preserve">emp_code of tenant A</t>
  </si>
  <si>
    <t xml:space="preserve">employee_found=false (no cross-tenant leak)</t>
  </si>
  <si>
    <t xml:space="preserve">PRS-10</t>
  </si>
  <si>
    <t xml:space="preserve">Attendance</t>
  </si>
  <si>
    <t xml:space="preserve">Login stored as IN in local time</t>
  </si>
  <si>
    <t xml:space="preserve">App timezone Asia/Kolkata</t>
  </si>
  <si>
    <t xml:space="preserve">POST /api/v1/fieldforce/attendance</t>
  </si>
  <si>
    <t xml:space="preserve">type=login, at=2026-10-06T04:00:00Z</t>
  </si>
  <si>
    <t xml:space="preserve">accepted; attendance_logs row direction=in, source=caller, punch_at 09:30:00</t>
  </si>
  <si>
    <t xml:space="preserve">CallerFieldForceTest: stores login/logout…</t>
  </si>
  <si>
    <t xml:space="preserve">PRS-11</t>
  </si>
  <si>
    <t xml:space="preserve">Logout stored as OUT with geo verdict</t>
  </si>
  <si>
    <t xml:space="preserve">Fence set</t>
  </si>
  <si>
    <t xml:space="preserve">POST attendance</t>
  </si>
  <si>
    <t xml:space="preserve">type=logout, far location</t>
  </si>
  <si>
    <t xml:space="preserve">accepted; direction=out; geo_status=outside</t>
  </si>
  <si>
    <t xml:space="preserve">PRS-12</t>
  </si>
  <si>
    <t xml:space="preserve">Time without offset rejected</t>
  </si>
  <si>
    <t xml:space="preserve">at=2026-10-06 09:30:00</t>
  </si>
  <si>
    <t xml:space="preserve">status=rejected (VALIDATION); no row</t>
  </si>
  <si>
    <t xml:space="preserve">PRS-13</t>
  </si>
  <si>
    <t xml:space="preserve">Unknown employee code</t>
  </si>
  <si>
    <t xml:space="preserve">emp_code=GHOST</t>
  </si>
  <si>
    <t xml:space="preserve">status=unknown_employee; no row</t>
  </si>
  <si>
    <t xml:space="preserve">PRS-14</t>
  </si>
  <si>
    <t xml:space="preserve">Retry is not duplicated</t>
  </si>
  <si>
    <t xml:space="preserve">Event c-1 already accepted</t>
  </si>
  <si>
    <t xml:space="preserve">POST same event again</t>
  </si>
  <si>
    <t xml:space="preserve">external_id=c-1</t>
  </si>
  <si>
    <t xml:space="preserve">status=duplicate; still one row</t>
  </si>
  <si>
    <t xml:space="preserve">PRS-15</t>
  </si>
  <si>
    <t xml:space="preserve">Caller punch appears in Attendance Report</t>
  </si>
  <si>
    <t xml:space="preserve">Login + logout accepted for today</t>
  </si>
  <si>
    <t xml:space="preserve">Open Attendance Report for the employee</t>
  </si>
  <si>
    <t xml:space="preserve">First In / Last Out show app login/logout times</t>
  </si>
  <si>
    <t xml:space="preserve">PRS-16</t>
  </si>
  <si>
    <t xml:space="preserve">Late-arrival mail triggered</t>
  </si>
  <si>
    <t xml:space="preserve">Late policy active; login after grace</t>
  </si>
  <si>
    <t xml:space="preserve">Send login event after shift start + grace</t>
  </si>
  <si>
    <t xml:space="preserve">Late-arrival notification queued as for biometric punch</t>
  </si>
  <si>
    <t xml:space="preserve">PRS-17</t>
  </si>
  <si>
    <t xml:space="preserve">Migration</t>
  </si>
  <si>
    <t xml:space="preserve">Geo columns migration is safe to rerun</t>
  </si>
  <si>
    <t xml:space="preserve">Live DB already has lat/lng from self punch</t>
  </si>
  <si>
    <t xml:space="preserve">php artisan migrate</t>
  </si>
  <si>
    <t xml:space="preserve">Migrates without error; existing data untouched</t>
  </si>
  <si>
    <t xml:space="preserve">EPT-01</t>
  </si>
  <si>
    <t xml:space="preserve">Punch API</t>
  </si>
  <si>
    <t xml:space="preserve">Sign-in punch keeps location</t>
  </si>
  <si>
    <t xml:space="preserve">API key ingest+read; employee E-1001</t>
  </si>
  <si>
    <t xml:space="preserve">POST /api/v1/attendance/punches</t>
  </si>
  <si>
    <t xml:space="preserve">punch_type=IN, source=CALLER, lat/lng, geo_status=within</t>
  </si>
  <si>
    <t xml:space="preserve">202; biometric_logs.metadata has lat, lng, geo_status, source=CALLER</t>
  </si>
  <si>
    <t xml:space="preserve">CallerFieldForceTest: test_sign_in_punch_keeps_location_in_metadata</t>
  </si>
  <si>
    <t xml:space="preserve">EPT-02</t>
  </si>
  <si>
    <t xml:space="preserve">Existing biometric bridge unaffected</t>
  </si>
  <si>
    <t xml:space="preserve">Run existing SBB punch tests</t>
  </si>
  <si>
    <t xml:space="preserve">All 18 SbbPunchIngestTest tests pass</t>
  </si>
  <si>
    <t xml:space="preserve">SbbPunchIngestTest (existing)</t>
  </si>
  <si>
    <t xml:space="preserve">EPT-03</t>
  </si>
  <si>
    <t xml:space="preserve">Caller IN creates attendance + gate</t>
  </si>
  <si>
    <t xml:space="preserve">Gate-to-PC enabled for company</t>
  </si>
  <si>
    <t xml:space="preserve">Sign in on app, then log in on PC</t>
  </si>
  <si>
    <t xml:space="preserve">EPT attendance shows check-in; PC login allowed by gate</t>
  </si>
  <si>
    <t xml:space="preserve">EPT-04</t>
  </si>
  <si>
    <t xml:space="preserve">Field trail</t>
  </si>
  <si>
    <t xml:space="preserve">Exit raises one violation</t>
  </si>
  <si>
    <t xml:space="preserve">Employee E-1001</t>
  </si>
  <si>
    <t xml:space="preserve">POST /api/v1/fieldforce/locations: within, outside, outside</t>
  </si>
  <si>
    <t xml:space="preserve">3 fixes 5 min apart</t>
  </si>
  <si>
    <t xml:space="preserve">stored=3; exactly one GEOFENCE_EXIT, unresolved</t>
  </si>
  <si>
    <t xml:space="preserve">CallerFieldForceTest: test_leaving_the_fence_raises_one_violation…</t>
  </si>
  <si>
    <t xml:space="preserve">EPT-05</t>
  </si>
  <si>
    <t xml:space="preserve">Return resolves violation</t>
  </si>
  <si>
    <t xml:space="preserve">After EPT-04</t>
  </si>
  <si>
    <t xml:space="preserve">POST a within fix</t>
  </si>
  <si>
    <t xml:space="preserve">GEOFENCE_EXIT resolved_at set</t>
  </si>
  <si>
    <t xml:space="preserve">CallerFieldForceTest: test_leaving_the_fence…</t>
  </si>
  <si>
    <t xml:space="preserve">EPT-06</t>
  </si>
  <si>
    <t xml:space="preserve">Re-delivered fix ignored</t>
  </si>
  <si>
    <t xml:space="preserve">POST same external_id again</t>
  </si>
  <si>
    <t xml:space="preserve">stored=0; no new violation</t>
  </si>
  <si>
    <t xml:space="preserve">EPT-07</t>
  </si>
  <si>
    <t xml:space="preserve">Read a day's trail</t>
  </si>
  <si>
    <t xml:space="preserve">Fixes stored</t>
  </si>
  <si>
    <t xml:space="preserve">GET /api/v1/fieldforce/locations?employee_code=e-1001</t>
  </si>
  <si>
    <t xml:space="preserve">count = fixes stored (case-insensitive code)</t>
  </si>
  <si>
    <t xml:space="preserve">EPT-08</t>
  </si>
  <si>
    <t xml:space="preserve">Violations</t>
  </si>
  <si>
    <t xml:space="preserve">GEOFENCE_EXIT visible in dashboard</t>
  </si>
  <si>
    <t xml:space="preserve">Open Violations feed in EPT admin</t>
  </si>
  <si>
    <t xml:space="preserve">Event shown: DEVICE / MEDIUM / distance and limit</t>
  </si>
  <si>
    <t xml:space="preserve">EPT-09</t>
  </si>
  <si>
    <t xml:space="preserve">field_force_locations created</t>
  </si>
  <si>
    <t xml:space="preserve">Table created; no other table changed</t>
  </si>
  <si>
    <t xml:space="preserve">CAL-01</t>
  </si>
  <si>
    <t xml:space="preserve">Sign-in</t>
  </si>
  <si>
    <t xml:space="preserve">Outside fence blocked, nothing recorded</t>
  </si>
  <si>
    <t xml:space="preserve">PRS + EPT connected; Block sign-in on</t>
  </si>
  <si>
    <t xml:space="preserve">Sign in with far GPS</t>
  </si>
  <si>
    <t xml:space="preserve">422 outside_geofence with PRS message; no work session; outbox empty</t>
  </si>
  <si>
    <t xml:space="preserve">FieldForceIntegrationTest: test_sign_in_outside…</t>
  </si>
  <si>
    <t xml:space="preserve">CAL-02</t>
  </si>
  <si>
    <t xml:space="preserve">Inside fence: attendance, punch and trail sent</t>
  </si>
  <si>
    <t xml:space="preserve">Same</t>
  </si>
  <si>
    <t xml:space="preserve">Sign in inside, send far GPS fix, sign out</t>
  </si>
  <si>
    <t xml:space="preserve">Outbox: PRS login, EPT IN, EPT location (outside), PRS logout, EPT OUT; all delivered</t>
  </si>
  <si>
    <t xml:space="preserve">FieldForceIntegrationTest: test_sign_in_inside…</t>
  </si>
  <si>
    <t xml:space="preserve">CAL-03</t>
  </si>
  <si>
    <t xml:space="preserve">PRS down does not lock staff out</t>
  </si>
  <si>
    <t xml:space="preserve">PRS returns 503</t>
  </si>
  <si>
    <t xml:space="preserve">Sign in</t>
  </si>
  <si>
    <t xml:space="preserve">Sign-in allowed (unverified); PRS event retried later; EPT delivered</t>
  </si>
  <si>
    <t xml:space="preserve">FieldForceIntegrationTest: test_prs_outage…</t>
  </si>
  <si>
    <t xml:space="preserve">CAL-04</t>
  </si>
  <si>
    <t xml:space="preserve">Record-only mode</t>
  </si>
  <si>
    <t xml:space="preserve">Untick Block sign-in outside geofence</t>
  </si>
  <si>
    <t xml:space="preserve">Sign in outside</t>
  </si>
  <si>
    <t xml:space="preserve">Sign-in allowed; attendance geo_status=outside in PRS</t>
  </si>
  <si>
    <t xml:space="preserve">CAL-05</t>
  </si>
  <si>
    <t xml:space="preserve">No integration configured</t>
  </si>
  <si>
    <t xml:space="preserve">No connections saved</t>
  </si>
  <si>
    <t xml:space="preserve">Works exactly as before; no outbox rows</t>
  </si>
  <si>
    <t xml:space="preserve">CAL-06</t>
  </si>
  <si>
    <t xml:space="preserve">Admin</t>
  </si>
  <si>
    <t xml:space="preserve">Integrations page loads (MySQL 8)</t>
  </si>
  <si>
    <t xml:space="preserve">Admin console rebuilt</t>
  </si>
  <si>
    <t xml:space="preserve">Open Administration → Integrations</t>
  </si>
  <si>
    <t xml:space="preserve">Two cards, no SQL error</t>
  </si>
  <si>
    <t xml:space="preserve">CAL-07</t>
  </si>
  <si>
    <t xml:space="preserve">Save &amp; test with valid key</t>
  </si>
  <si>
    <t xml:space="preserve">PRS key with ingest</t>
  </si>
  <si>
    <t xml:space="preserve">Enter URL + key, Save &amp; test</t>
  </si>
  <si>
    <t xml:space="preserve">Connected to &lt;company name&gt;</t>
  </si>
  <si>
    <t xml:space="preserve">CAL-08</t>
  </si>
  <si>
    <t xml:space="preserve">Save &amp; test with wrong key</t>
  </si>
  <si>
    <t xml:space="preserve">Enter wrong key</t>
  </si>
  <si>
    <t xml:space="preserve">Could not connect: 401 API key is not valid</t>
  </si>
  <si>
    <t xml:space="preserve">CAL-09</t>
  </si>
  <si>
    <t xml:space="preserve">Send waiting data now</t>
  </si>
  <si>
    <t xml:space="preserve">Outbox has pending/failed rows</t>
  </si>
  <si>
    <t xml:space="preserve">Click Send waiting data now</t>
  </si>
  <si>
    <t xml:space="preserve">Rows delivered; counts update</t>
  </si>
  <si>
    <t xml:space="preserve">APP-01</t>
  </si>
  <si>
    <t xml:space="preserve">Field test</t>
  </si>
  <si>
    <t xml:space="preserve">Real sign-in inside office</t>
  </si>
  <si>
    <t xml:space="preserve">OPPO phone, location on, fence set in PRS</t>
  </si>
  <si>
    <t xml:space="preserve">Sign in at office</t>
  </si>
  <si>
    <t xml:space="preserve">Signed in; PRS shows IN with lat/lng within</t>
  </si>
  <si>
    <t xml:space="preserve">APP-02</t>
  </si>
  <si>
    <t xml:space="preserve">Real sign-in away from office</t>
  </si>
  <si>
    <t xml:space="preserve">Sign in &gt; radius away</t>
  </si>
  <si>
    <t xml:space="preserve">Refused with distance message</t>
  </si>
  <si>
    <t xml:space="preserve">APP-03</t>
  </si>
  <si>
    <t xml:space="preserve">Location permission denied</t>
  </si>
  <si>
    <t xml:space="preserve">Deny location</t>
  </si>
  <si>
    <t xml:space="preserve">Strict fence: refused (no-gps); lenient: allowed</t>
  </si>
  <si>
    <t xml:space="preserve">APP-04</t>
  </si>
  <si>
    <t xml:space="preserve">Leave area during the day</t>
  </si>
  <si>
    <t xml:space="preserve">Signed in inside</t>
  </si>
  <si>
    <t xml:space="preserve">Travel outside radius for 15 min</t>
  </si>
  <si>
    <t xml:space="preserve">GEOFENCE_EXIT appears in EPT within ~5 min; resolved on return</t>
  </si>
  <si>
    <t xml:space="preserve">E2E-01</t>
  </si>
  <si>
    <t xml:space="preserve">Phone offline at logout</t>
  </si>
  <si>
    <t xml:space="preserve">Airplane mode before sign out</t>
  </si>
  <si>
    <t xml:space="preserve">Sign out, reconnect</t>
  </si>
  <si>
    <t xml:space="preserve">Logout delivered after reconnect; one OUT in PRS and EPT</t>
  </si>
  <si>
    <t xml:space="preserve">E2E-02</t>
  </si>
  <si>
    <t xml:space="preserve">Double count check (EPT push to PRS on)</t>
  </si>
  <si>
    <t xml:space="preserve">EPT integration target to PRS active</t>
  </si>
  <si>
    <t xml:space="preserve">Sign in via app</t>
  </si>
  <si>
    <t xml:space="preserve">Decide: PRS shows caller + smartept rows; turn one path off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</si>
</sst>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dd\-mmm\-yyyy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E7ECF3"/>
        <bgColor rgb="FFF3F6FA"/>
      </patternFill>
    </fill>
    <fill>
      <patternFill patternType="solid">
        <fgColor rgb="FFFFF2CC"/>
        <bgColor rgb="FFFFEB9C"/>
      </patternFill>
    </fill>
    <fill>
      <patternFill patternType="solid">
        <fgColor rgb="FFF3F6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A5F"/>
          <bgColor rgb="FF000000"/>
        </patternFill>
      </fill>
    </dxf>
    <dxf>
      <fill>
        <patternFill patternType="solid">
          <fgColor rgb="FFF3F6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C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6FA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9" min="2" style="0" width="11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customFormat="false" ht="15" hidden="false" customHeight="false" outlineLevel="0" collapsed="false">
      <c r="A4" s="3" t="s">
        <v>10</v>
      </c>
      <c r="B4" s="3" t="n">
        <f aca="false">COUNTIF('Test Cases'!$B$5:$B$45,A4)</f>
        <v>17</v>
      </c>
      <c r="C4" s="3" t="n">
        <f aca="false">COUNTIFS('Test Cases'!$B$5:$B$45,A4,'Test Cases'!$I$5:$I$45,"Auto")</f>
        <v>11</v>
      </c>
      <c r="D4" s="3" t="n">
        <f aca="false">COUNTIFS('Test Cases'!$B$5:$B$45,A4,'Test Cases'!$I$5:$I$45,"Manual")</f>
        <v>6</v>
      </c>
      <c r="E4" s="3" t="n">
        <f aca="false">COUNTIFS('Test Cases'!$B$5:$B$45,A4,'Test Cases'!$K$5:$K$45,"Pass")</f>
        <v>11</v>
      </c>
      <c r="F4" s="3" t="n">
        <f aca="false">COUNTIFS('Test Cases'!$B$5:$B$45,A4,'Test Cases'!$K$5:$K$45,"Fail")</f>
        <v>0</v>
      </c>
      <c r="G4" s="3" t="n">
        <f aca="false">COUNTIFS('Test Cases'!$B$5:$B$45,A4,'Test Cases'!$K$5:$K$45,"Blocked")</f>
        <v>0</v>
      </c>
      <c r="H4" s="3" t="n">
        <f aca="false">COUNTIFS('Test Cases'!$B$5:$B$45,A4,'Test Cases'!$K$5:$K$45,"Not run")</f>
        <v>6</v>
      </c>
      <c r="I4" s="4" t="n">
        <f aca="false">IF(B4=0,0,E4/B4)</f>
        <v>0.647058823529412</v>
      </c>
    </row>
    <row r="5" customFormat="false" ht="15" hidden="false" customHeight="false" outlineLevel="0" collapsed="false">
      <c r="A5" s="3" t="s">
        <v>11</v>
      </c>
      <c r="B5" s="3" t="n">
        <f aca="false">COUNTIF('Test Cases'!$B$5:$B$45,A5)</f>
        <v>9</v>
      </c>
      <c r="C5" s="3" t="n">
        <f aca="false">COUNTIFS('Test Cases'!$B$5:$B$45,A5,'Test Cases'!$I$5:$I$45,"Auto")</f>
        <v>6</v>
      </c>
      <c r="D5" s="3" t="n">
        <f aca="false">COUNTIFS('Test Cases'!$B$5:$B$45,A5,'Test Cases'!$I$5:$I$45,"Manual")</f>
        <v>3</v>
      </c>
      <c r="E5" s="3" t="n">
        <f aca="false">COUNTIFS('Test Cases'!$B$5:$B$45,A5,'Test Cases'!$K$5:$K$45,"Pass")</f>
        <v>6</v>
      </c>
      <c r="F5" s="3" t="n">
        <f aca="false">COUNTIFS('Test Cases'!$B$5:$B$45,A5,'Test Cases'!$K$5:$K$45,"Fail")</f>
        <v>0</v>
      </c>
      <c r="G5" s="3" t="n">
        <f aca="false">COUNTIFS('Test Cases'!$B$5:$B$45,A5,'Test Cases'!$K$5:$K$45,"Blocked")</f>
        <v>0</v>
      </c>
      <c r="H5" s="3" t="n">
        <f aca="false">COUNTIFS('Test Cases'!$B$5:$B$45,A5,'Test Cases'!$K$5:$K$45,"Not run")</f>
        <v>3</v>
      </c>
      <c r="I5" s="4" t="n">
        <f aca="false">IF(B5=0,0,E5/B5)</f>
        <v>0.666666666666667</v>
      </c>
    </row>
    <row r="6" customFormat="false" ht="15" hidden="false" customHeight="false" outlineLevel="0" collapsed="false">
      <c r="A6" s="3" t="s">
        <v>12</v>
      </c>
      <c r="B6" s="3" t="n">
        <f aca="false">COUNTIF('Test Cases'!$B$5:$B$45,A6)</f>
        <v>9</v>
      </c>
      <c r="C6" s="3" t="n">
        <f aca="false">COUNTIFS('Test Cases'!$B$5:$B$45,A6,'Test Cases'!$I$5:$I$45,"Auto")</f>
        <v>3</v>
      </c>
      <c r="D6" s="3" t="n">
        <f aca="false">COUNTIFS('Test Cases'!$B$5:$B$45,A6,'Test Cases'!$I$5:$I$45,"Manual")</f>
        <v>6</v>
      </c>
      <c r="E6" s="3" t="n">
        <f aca="false">COUNTIFS('Test Cases'!$B$5:$B$45,A6,'Test Cases'!$K$5:$K$45,"Pass")</f>
        <v>3</v>
      </c>
      <c r="F6" s="3" t="n">
        <f aca="false">COUNTIFS('Test Cases'!$B$5:$B$45,A6,'Test Cases'!$K$5:$K$45,"Fail")</f>
        <v>0</v>
      </c>
      <c r="G6" s="3" t="n">
        <f aca="false">COUNTIFS('Test Cases'!$B$5:$B$45,A6,'Test Cases'!$K$5:$K$45,"Blocked")</f>
        <v>0</v>
      </c>
      <c r="H6" s="3" t="n">
        <f aca="false">COUNTIFS('Test Cases'!$B$5:$B$45,A6,'Test Cases'!$K$5:$K$45,"Not run")</f>
        <v>6</v>
      </c>
      <c r="I6" s="4" t="n">
        <f aca="false">IF(B6=0,0,E6/B6)</f>
        <v>0.333333333333333</v>
      </c>
    </row>
    <row r="7" customFormat="false" ht="15" hidden="false" customHeight="false" outlineLevel="0" collapsed="false">
      <c r="A7" s="3" t="s">
        <v>13</v>
      </c>
      <c r="B7" s="3" t="n">
        <f aca="false">COUNTIF('Test Cases'!$B$5:$B$45,A7)</f>
        <v>4</v>
      </c>
      <c r="C7" s="3" t="n">
        <f aca="false">COUNTIFS('Test Cases'!$B$5:$B$45,A7,'Test Cases'!$I$5:$I$45,"Auto")</f>
        <v>0</v>
      </c>
      <c r="D7" s="3" t="n">
        <f aca="false">COUNTIFS('Test Cases'!$B$5:$B$45,A7,'Test Cases'!$I$5:$I$45,"Manual")</f>
        <v>4</v>
      </c>
      <c r="E7" s="3" t="n">
        <f aca="false">COUNTIFS('Test Cases'!$B$5:$B$45,A7,'Test Cases'!$K$5:$K$45,"Pass")</f>
        <v>0</v>
      </c>
      <c r="F7" s="3" t="n">
        <f aca="false">COUNTIFS('Test Cases'!$B$5:$B$45,A7,'Test Cases'!$K$5:$K$45,"Fail")</f>
        <v>0</v>
      </c>
      <c r="G7" s="3" t="n">
        <f aca="false">COUNTIFS('Test Cases'!$B$5:$B$45,A7,'Test Cases'!$K$5:$K$45,"Blocked")</f>
        <v>0</v>
      </c>
      <c r="H7" s="3" t="n">
        <f aca="false">COUNTIFS('Test Cases'!$B$5:$B$45,A7,'Test Cases'!$K$5:$K$45,"Not run")</f>
        <v>4</v>
      </c>
      <c r="I7" s="4" t="n">
        <f aca="false">IF(B7=0,0,E7/B7)</f>
        <v>0</v>
      </c>
    </row>
    <row r="8" customFormat="false" ht="15" hidden="false" customHeight="false" outlineLevel="0" collapsed="false">
      <c r="A8" s="3" t="s">
        <v>14</v>
      </c>
      <c r="B8" s="3" t="n">
        <f aca="false">COUNTIF('Test Cases'!$B$5:$B$45,A8)</f>
        <v>2</v>
      </c>
      <c r="C8" s="3" t="n">
        <f aca="false">COUNTIFS('Test Cases'!$B$5:$B$45,A8,'Test Cases'!$I$5:$I$45,"Auto")</f>
        <v>0</v>
      </c>
      <c r="D8" s="3" t="n">
        <f aca="false">COUNTIFS('Test Cases'!$B$5:$B$45,A8,'Test Cases'!$I$5:$I$45,"Manual")</f>
        <v>2</v>
      </c>
      <c r="E8" s="3" t="n">
        <f aca="false">COUNTIFS('Test Cases'!$B$5:$B$45,A8,'Test Cases'!$K$5:$K$45,"Pass")</f>
        <v>0</v>
      </c>
      <c r="F8" s="3" t="n">
        <f aca="false">COUNTIFS('Test Cases'!$B$5:$B$45,A8,'Test Cases'!$K$5:$K$45,"Fail")</f>
        <v>0</v>
      </c>
      <c r="G8" s="3" t="n">
        <f aca="false">COUNTIFS('Test Cases'!$B$5:$B$45,A8,'Test Cases'!$K$5:$K$45,"Blocked")</f>
        <v>0</v>
      </c>
      <c r="H8" s="3" t="n">
        <f aca="false">COUNTIFS('Test Cases'!$B$5:$B$45,A8,'Test Cases'!$K$5:$K$45,"Not run")</f>
        <v>2</v>
      </c>
      <c r="I8" s="4" t="n">
        <f aca="false">IF(B8=0,0,E8/B8)</f>
        <v>0</v>
      </c>
    </row>
    <row r="9" customFormat="false" ht="15" hidden="false" customHeight="false" outlineLevel="0" collapsed="false">
      <c r="A9" s="5" t="s">
        <v>2</v>
      </c>
      <c r="B9" s="5" t="n">
        <f aca="false">SUM(B4:B8)</f>
        <v>41</v>
      </c>
      <c r="C9" s="5" t="n">
        <f aca="false">SUM(C4:C8)</f>
        <v>20</v>
      </c>
      <c r="D9" s="5" t="n">
        <f aca="false">SUM(D4:D8)</f>
        <v>21</v>
      </c>
      <c r="E9" s="5" t="n">
        <f aca="false">SUM(E4:E8)</f>
        <v>20</v>
      </c>
      <c r="F9" s="5" t="n">
        <f aca="false">SUM(F4:F8)</f>
        <v>0</v>
      </c>
      <c r="G9" s="5" t="n">
        <f aca="false">SUM(G4:G8)</f>
        <v>0</v>
      </c>
      <c r="H9" s="5" t="n">
        <f aca="false">SUM(H4:H8)</f>
        <v>21</v>
      </c>
      <c r="I9" s="6" t="n">
        <f aca="false">IF(B9=0,0,E9/B9)</f>
        <v>0.487804878048781</v>
      </c>
    </row>
    <row r="11" customFormat="false" ht="15" hidden="false" customHeight="false" outlineLevel="0" collapsed="false">
      <c r="A11" s="7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6" min="4" style="0" width="30"/>
    <col collapsed="false" customWidth="true" hidden="false" outlineLevel="0" max="7" min="7" style="0" width="26"/>
    <col collapsed="false" customWidth="true" hidden="false" outlineLevel="0" max="8" min="8" style="0" width="36"/>
    <col collapsed="false" customWidth="true" hidden="false" outlineLevel="0" max="9" min="9" style="0" width="8"/>
    <col collapsed="false" customWidth="true" hidden="false" outlineLevel="0" max="10" min="10" style="0" width="32"/>
    <col collapsed="false" customWidth="true" hidden="false" outlineLevel="0" max="11" min="11" style="0" width="10"/>
    <col collapsed="false" customWidth="true" hidden="false" outlineLevel="0" max="12" min="12" style="0" width="14"/>
    <col collapsed="false" customWidth="true" hidden="false" outlineLevel="0" max="13" min="13" style="0" width="12"/>
    <col collapsed="false" customWidth="true" hidden="false" outlineLevel="0" max="14" min="14" style="0" width="24"/>
  </cols>
  <sheetData>
    <row r="1" customFormat="false" ht="17.35" hidden="false" customHeight="false" outlineLevel="0" collapsed="false">
      <c r="A1" s="1" t="s">
        <v>16</v>
      </c>
    </row>
    <row r="2" customFormat="false" ht="15" hidden="false" customHeight="false" outlineLevel="0" collapsed="false">
      <c r="A2" s="7" t="s">
        <v>17</v>
      </c>
    </row>
    <row r="4" customFormat="false" ht="15" hidden="false" customHeight="false" outlineLevel="0" collapsed="false">
      <c r="A4" s="8" t="s">
        <v>18</v>
      </c>
      <c r="B4" s="8" t="s">
        <v>1</v>
      </c>
      <c r="C4" s="8" t="s">
        <v>19</v>
      </c>
      <c r="D4" s="8" t="s">
        <v>20</v>
      </c>
      <c r="E4" s="8" t="s">
        <v>21</v>
      </c>
      <c r="F4" s="8" t="s">
        <v>22</v>
      </c>
      <c r="G4" s="8" t="s">
        <v>23</v>
      </c>
      <c r="H4" s="8" t="s">
        <v>24</v>
      </c>
      <c r="I4" s="8" t="s">
        <v>25</v>
      </c>
      <c r="J4" s="8" t="s">
        <v>26</v>
      </c>
      <c r="K4" s="8" t="s">
        <v>27</v>
      </c>
      <c r="L4" s="8" t="s">
        <v>28</v>
      </c>
      <c r="M4" s="8" t="s">
        <v>29</v>
      </c>
      <c r="N4" s="8" t="s">
        <v>30</v>
      </c>
    </row>
    <row r="5" customFormat="false" ht="35.05" hidden="false" customHeight="false" outlineLevel="0" collapsed="false">
      <c r="A5" s="9" t="s">
        <v>31</v>
      </c>
      <c r="B5" s="9" t="s">
        <v>10</v>
      </c>
      <c r="C5" s="9" t="s">
        <v>32</v>
      </c>
      <c r="D5" s="9" t="s">
        <v>33</v>
      </c>
      <c r="E5" s="9" t="s">
        <v>34</v>
      </c>
      <c r="F5" s="9" t="s">
        <v>35</v>
      </c>
      <c r="G5" s="9" t="s">
        <v>36</v>
      </c>
      <c r="H5" s="9" t="s">
        <v>37</v>
      </c>
      <c r="I5" s="9" t="s">
        <v>38</v>
      </c>
      <c r="J5" s="9" t="s">
        <v>39</v>
      </c>
      <c r="K5" s="10" t="s">
        <v>5</v>
      </c>
      <c r="L5" s="10" t="s">
        <v>40</v>
      </c>
      <c r="M5" s="11" t="n">
        <v>46301</v>
      </c>
      <c r="N5" s="10"/>
    </row>
    <row r="6" customFormat="false" ht="23.85" hidden="false" customHeight="false" outlineLevel="0" collapsed="false">
      <c r="A6" s="12" t="s">
        <v>41</v>
      </c>
      <c r="B6" s="12" t="s">
        <v>10</v>
      </c>
      <c r="C6" s="12" t="s">
        <v>32</v>
      </c>
      <c r="D6" s="12" t="s">
        <v>42</v>
      </c>
      <c r="E6" s="12" t="s">
        <v>43</v>
      </c>
      <c r="F6" s="12" t="s">
        <v>44</v>
      </c>
      <c r="G6" s="12" t="s">
        <v>45</v>
      </c>
      <c r="H6" s="12" t="s">
        <v>46</v>
      </c>
      <c r="I6" s="12" t="s">
        <v>38</v>
      </c>
      <c r="J6" s="12" t="s">
        <v>47</v>
      </c>
      <c r="K6" s="10" t="s">
        <v>5</v>
      </c>
      <c r="L6" s="10" t="s">
        <v>40</v>
      </c>
      <c r="M6" s="11" t="n">
        <v>46301</v>
      </c>
      <c r="N6" s="10"/>
    </row>
    <row r="7" customFormat="false" ht="23.85" hidden="false" customHeight="false" outlineLevel="0" collapsed="false">
      <c r="A7" s="9" t="s">
        <v>48</v>
      </c>
      <c r="B7" s="9" t="s">
        <v>10</v>
      </c>
      <c r="C7" s="9" t="s">
        <v>32</v>
      </c>
      <c r="D7" s="9" t="s">
        <v>49</v>
      </c>
      <c r="E7" s="9" t="s">
        <v>43</v>
      </c>
      <c r="F7" s="9" t="s">
        <v>50</v>
      </c>
      <c r="G7" s="9" t="s">
        <v>51</v>
      </c>
      <c r="H7" s="9" t="s">
        <v>52</v>
      </c>
      <c r="I7" s="9" t="s">
        <v>38</v>
      </c>
      <c r="J7" s="9" t="s">
        <v>47</v>
      </c>
      <c r="K7" s="10" t="s">
        <v>5</v>
      </c>
      <c r="L7" s="10" t="s">
        <v>40</v>
      </c>
      <c r="M7" s="11" t="n">
        <v>46301</v>
      </c>
      <c r="N7" s="10"/>
    </row>
    <row r="8" customFormat="false" ht="23.85" hidden="false" customHeight="false" outlineLevel="0" collapsed="false">
      <c r="A8" s="12" t="s">
        <v>53</v>
      </c>
      <c r="B8" s="12" t="s">
        <v>10</v>
      </c>
      <c r="C8" s="12" t="s">
        <v>32</v>
      </c>
      <c r="D8" s="12" t="s">
        <v>54</v>
      </c>
      <c r="E8" s="12" t="s">
        <v>55</v>
      </c>
      <c r="F8" s="12" t="s">
        <v>50</v>
      </c>
      <c r="G8" s="12" t="s">
        <v>56</v>
      </c>
      <c r="H8" s="12" t="s">
        <v>57</v>
      </c>
      <c r="I8" s="12" t="s">
        <v>4</v>
      </c>
      <c r="J8" s="12"/>
      <c r="K8" s="10" t="s">
        <v>8</v>
      </c>
      <c r="L8" s="10"/>
      <c r="M8" s="11"/>
      <c r="N8" s="10"/>
    </row>
    <row r="9" customFormat="false" ht="23.85" hidden="false" customHeight="false" outlineLevel="0" collapsed="false">
      <c r="A9" s="9" t="s">
        <v>58</v>
      </c>
      <c r="B9" s="9" t="s">
        <v>10</v>
      </c>
      <c r="C9" s="9" t="s">
        <v>32</v>
      </c>
      <c r="D9" s="9" t="s">
        <v>59</v>
      </c>
      <c r="E9" s="9" t="s">
        <v>60</v>
      </c>
      <c r="F9" s="9" t="s">
        <v>44</v>
      </c>
      <c r="G9" s="9" t="s">
        <v>61</v>
      </c>
      <c r="H9" s="9" t="s">
        <v>62</v>
      </c>
      <c r="I9" s="9" t="s">
        <v>38</v>
      </c>
      <c r="J9" s="9" t="s">
        <v>63</v>
      </c>
      <c r="K9" s="10" t="s">
        <v>5</v>
      </c>
      <c r="L9" s="10" t="s">
        <v>40</v>
      </c>
      <c r="M9" s="11" t="n">
        <v>46301</v>
      </c>
      <c r="N9" s="10"/>
    </row>
    <row r="10" customFormat="false" ht="23.85" hidden="false" customHeight="false" outlineLevel="0" collapsed="false">
      <c r="A10" s="12" t="s">
        <v>64</v>
      </c>
      <c r="B10" s="12" t="s">
        <v>10</v>
      </c>
      <c r="C10" s="12" t="s">
        <v>32</v>
      </c>
      <c r="D10" s="12" t="s">
        <v>65</v>
      </c>
      <c r="E10" s="12" t="s">
        <v>66</v>
      </c>
      <c r="F10" s="12" t="s">
        <v>44</v>
      </c>
      <c r="G10" s="12" t="s">
        <v>67</v>
      </c>
      <c r="H10" s="12" t="s">
        <v>68</v>
      </c>
      <c r="I10" s="12" t="s">
        <v>38</v>
      </c>
      <c r="J10" s="12" t="s">
        <v>63</v>
      </c>
      <c r="K10" s="10" t="s">
        <v>5</v>
      </c>
      <c r="L10" s="10" t="s">
        <v>40</v>
      </c>
      <c r="M10" s="11" t="n">
        <v>46301</v>
      </c>
      <c r="N10" s="10"/>
    </row>
    <row r="11" customFormat="false" ht="15" hidden="false" customHeight="false" outlineLevel="0" collapsed="false">
      <c r="A11" s="9" t="s">
        <v>69</v>
      </c>
      <c r="B11" s="9" t="s">
        <v>10</v>
      </c>
      <c r="C11" s="9" t="s">
        <v>32</v>
      </c>
      <c r="D11" s="9" t="s">
        <v>70</v>
      </c>
      <c r="E11" s="9" t="s">
        <v>71</v>
      </c>
      <c r="F11" s="9" t="s">
        <v>72</v>
      </c>
      <c r="G11" s="9" t="s">
        <v>73</v>
      </c>
      <c r="H11" s="9" t="s">
        <v>74</v>
      </c>
      <c r="I11" s="9" t="s">
        <v>4</v>
      </c>
      <c r="J11" s="9"/>
      <c r="K11" s="10" t="s">
        <v>8</v>
      </c>
      <c r="L11" s="10"/>
      <c r="M11" s="11"/>
      <c r="N11" s="10"/>
    </row>
    <row r="12" customFormat="false" ht="23.85" hidden="false" customHeight="false" outlineLevel="0" collapsed="false">
      <c r="A12" s="12" t="s">
        <v>75</v>
      </c>
      <c r="B12" s="12" t="s">
        <v>10</v>
      </c>
      <c r="C12" s="12" t="s">
        <v>76</v>
      </c>
      <c r="D12" s="12" t="s">
        <v>77</v>
      </c>
      <c r="E12" s="12" t="s">
        <v>66</v>
      </c>
      <c r="F12" s="12" t="s">
        <v>78</v>
      </c>
      <c r="G12" s="12" t="s">
        <v>79</v>
      </c>
      <c r="H12" s="12" t="s">
        <v>80</v>
      </c>
      <c r="I12" s="12" t="s">
        <v>38</v>
      </c>
      <c r="J12" s="12" t="s">
        <v>81</v>
      </c>
      <c r="K12" s="10" t="s">
        <v>5</v>
      </c>
      <c r="L12" s="10" t="s">
        <v>40</v>
      </c>
      <c r="M12" s="11" t="n">
        <v>46301</v>
      </c>
      <c r="N12" s="10"/>
    </row>
    <row r="13" customFormat="false" ht="23.85" hidden="false" customHeight="false" outlineLevel="0" collapsed="false">
      <c r="A13" s="9" t="s">
        <v>82</v>
      </c>
      <c r="B13" s="9" t="s">
        <v>10</v>
      </c>
      <c r="C13" s="9" t="s">
        <v>76</v>
      </c>
      <c r="D13" s="9" t="s">
        <v>83</v>
      </c>
      <c r="E13" s="9" t="s">
        <v>84</v>
      </c>
      <c r="F13" s="9" t="s">
        <v>44</v>
      </c>
      <c r="G13" s="9" t="s">
        <v>85</v>
      </c>
      <c r="H13" s="9" t="s">
        <v>86</v>
      </c>
      <c r="I13" s="9" t="s">
        <v>4</v>
      </c>
      <c r="J13" s="9"/>
      <c r="K13" s="10" t="s">
        <v>8</v>
      </c>
      <c r="L13" s="10"/>
      <c r="M13" s="11"/>
      <c r="N13" s="10"/>
    </row>
    <row r="14" customFormat="false" ht="23.85" hidden="false" customHeight="false" outlineLevel="0" collapsed="false">
      <c r="A14" s="12" t="s">
        <v>87</v>
      </c>
      <c r="B14" s="12" t="s">
        <v>10</v>
      </c>
      <c r="C14" s="12" t="s">
        <v>88</v>
      </c>
      <c r="D14" s="12" t="s">
        <v>89</v>
      </c>
      <c r="E14" s="12" t="s">
        <v>90</v>
      </c>
      <c r="F14" s="12" t="s">
        <v>91</v>
      </c>
      <c r="G14" s="12" t="s">
        <v>92</v>
      </c>
      <c r="H14" s="12" t="s">
        <v>93</v>
      </c>
      <c r="I14" s="12" t="s">
        <v>38</v>
      </c>
      <c r="J14" s="12" t="s">
        <v>94</v>
      </c>
      <c r="K14" s="10" t="s">
        <v>5</v>
      </c>
      <c r="L14" s="10" t="s">
        <v>40</v>
      </c>
      <c r="M14" s="11" t="n">
        <v>46301</v>
      </c>
      <c r="N14" s="10"/>
    </row>
    <row r="15" customFormat="false" ht="23.85" hidden="false" customHeight="false" outlineLevel="0" collapsed="false">
      <c r="A15" s="9" t="s">
        <v>95</v>
      </c>
      <c r="B15" s="9" t="s">
        <v>10</v>
      </c>
      <c r="C15" s="9" t="s">
        <v>88</v>
      </c>
      <c r="D15" s="9" t="s">
        <v>96</v>
      </c>
      <c r="E15" s="9" t="s">
        <v>97</v>
      </c>
      <c r="F15" s="9" t="s">
        <v>98</v>
      </c>
      <c r="G15" s="9" t="s">
        <v>99</v>
      </c>
      <c r="H15" s="9" t="s">
        <v>100</v>
      </c>
      <c r="I15" s="9" t="s">
        <v>38</v>
      </c>
      <c r="J15" s="9" t="s">
        <v>94</v>
      </c>
      <c r="K15" s="10" t="s">
        <v>5</v>
      </c>
      <c r="L15" s="10" t="s">
        <v>40</v>
      </c>
      <c r="M15" s="11" t="n">
        <v>46301</v>
      </c>
      <c r="N15" s="10"/>
    </row>
    <row r="16" customFormat="false" ht="23.85" hidden="false" customHeight="false" outlineLevel="0" collapsed="false">
      <c r="A16" s="12" t="s">
        <v>101</v>
      </c>
      <c r="B16" s="12" t="s">
        <v>10</v>
      </c>
      <c r="C16" s="12" t="s">
        <v>88</v>
      </c>
      <c r="D16" s="12" t="s">
        <v>102</v>
      </c>
      <c r="E16" s="12" t="s">
        <v>66</v>
      </c>
      <c r="F16" s="12" t="s">
        <v>98</v>
      </c>
      <c r="G16" s="12" t="s">
        <v>103</v>
      </c>
      <c r="H16" s="12" t="s">
        <v>104</v>
      </c>
      <c r="I16" s="12" t="s">
        <v>38</v>
      </c>
      <c r="J16" s="12" t="s">
        <v>94</v>
      </c>
      <c r="K16" s="10" t="s">
        <v>5</v>
      </c>
      <c r="L16" s="10" t="s">
        <v>40</v>
      </c>
      <c r="M16" s="11" t="n">
        <v>46301</v>
      </c>
      <c r="N16" s="10"/>
    </row>
    <row r="17" customFormat="false" ht="23.85" hidden="false" customHeight="false" outlineLevel="0" collapsed="false">
      <c r="A17" s="9" t="s">
        <v>105</v>
      </c>
      <c r="B17" s="9" t="s">
        <v>10</v>
      </c>
      <c r="C17" s="9" t="s">
        <v>88</v>
      </c>
      <c r="D17" s="9" t="s">
        <v>106</v>
      </c>
      <c r="E17" s="9" t="s">
        <v>66</v>
      </c>
      <c r="F17" s="9" t="s">
        <v>98</v>
      </c>
      <c r="G17" s="9" t="s">
        <v>107</v>
      </c>
      <c r="H17" s="9" t="s">
        <v>108</v>
      </c>
      <c r="I17" s="9" t="s">
        <v>38</v>
      </c>
      <c r="J17" s="9" t="s">
        <v>94</v>
      </c>
      <c r="K17" s="10" t="s">
        <v>5</v>
      </c>
      <c r="L17" s="10" t="s">
        <v>40</v>
      </c>
      <c r="M17" s="11" t="n">
        <v>46301</v>
      </c>
      <c r="N17" s="10"/>
    </row>
    <row r="18" customFormat="false" ht="23.85" hidden="false" customHeight="false" outlineLevel="0" collapsed="false">
      <c r="A18" s="12" t="s">
        <v>109</v>
      </c>
      <c r="B18" s="12" t="s">
        <v>10</v>
      </c>
      <c r="C18" s="12" t="s">
        <v>88</v>
      </c>
      <c r="D18" s="12" t="s">
        <v>110</v>
      </c>
      <c r="E18" s="12" t="s">
        <v>111</v>
      </c>
      <c r="F18" s="12" t="s">
        <v>112</v>
      </c>
      <c r="G18" s="12" t="s">
        <v>113</v>
      </c>
      <c r="H18" s="12" t="s">
        <v>114</v>
      </c>
      <c r="I18" s="12" t="s">
        <v>38</v>
      </c>
      <c r="J18" s="12" t="s">
        <v>94</v>
      </c>
      <c r="K18" s="10" t="s">
        <v>5</v>
      </c>
      <c r="L18" s="10" t="s">
        <v>40</v>
      </c>
      <c r="M18" s="11" t="n">
        <v>46301</v>
      </c>
      <c r="N18" s="10"/>
    </row>
    <row r="19" customFormat="false" ht="23.85" hidden="false" customHeight="false" outlineLevel="0" collapsed="false">
      <c r="A19" s="9" t="s">
        <v>115</v>
      </c>
      <c r="B19" s="9" t="s">
        <v>10</v>
      </c>
      <c r="C19" s="9" t="s">
        <v>88</v>
      </c>
      <c r="D19" s="9" t="s">
        <v>116</v>
      </c>
      <c r="E19" s="9" t="s">
        <v>117</v>
      </c>
      <c r="F19" s="9" t="s">
        <v>118</v>
      </c>
      <c r="G19" s="9" t="s">
        <v>66</v>
      </c>
      <c r="H19" s="9" t="s">
        <v>119</v>
      </c>
      <c r="I19" s="9" t="s">
        <v>4</v>
      </c>
      <c r="J19" s="9"/>
      <c r="K19" s="10" t="s">
        <v>8</v>
      </c>
      <c r="L19" s="10"/>
      <c r="M19" s="11"/>
      <c r="N19" s="10"/>
    </row>
    <row r="20" customFormat="false" ht="23.85" hidden="false" customHeight="false" outlineLevel="0" collapsed="false">
      <c r="A20" s="12" t="s">
        <v>120</v>
      </c>
      <c r="B20" s="12" t="s">
        <v>10</v>
      </c>
      <c r="C20" s="12" t="s">
        <v>88</v>
      </c>
      <c r="D20" s="12" t="s">
        <v>121</v>
      </c>
      <c r="E20" s="12" t="s">
        <v>122</v>
      </c>
      <c r="F20" s="12" t="s">
        <v>123</v>
      </c>
      <c r="G20" s="12" t="s">
        <v>66</v>
      </c>
      <c r="H20" s="12" t="s">
        <v>124</v>
      </c>
      <c r="I20" s="12" t="s">
        <v>4</v>
      </c>
      <c r="J20" s="12"/>
      <c r="K20" s="10" t="s">
        <v>8</v>
      </c>
      <c r="L20" s="10"/>
      <c r="M20" s="11"/>
      <c r="N20" s="10"/>
    </row>
    <row r="21" customFormat="false" ht="23.85" hidden="false" customHeight="false" outlineLevel="0" collapsed="false">
      <c r="A21" s="9" t="s">
        <v>125</v>
      </c>
      <c r="B21" s="9" t="s">
        <v>10</v>
      </c>
      <c r="C21" s="9" t="s">
        <v>126</v>
      </c>
      <c r="D21" s="9" t="s">
        <v>127</v>
      </c>
      <c r="E21" s="9" t="s">
        <v>128</v>
      </c>
      <c r="F21" s="9" t="s">
        <v>129</v>
      </c>
      <c r="G21" s="9" t="s">
        <v>66</v>
      </c>
      <c r="H21" s="9" t="s">
        <v>130</v>
      </c>
      <c r="I21" s="9" t="s">
        <v>4</v>
      </c>
      <c r="J21" s="9"/>
      <c r="K21" s="10" t="s">
        <v>8</v>
      </c>
      <c r="L21" s="10"/>
      <c r="M21" s="11"/>
      <c r="N21" s="10"/>
    </row>
    <row r="22" customFormat="false" ht="35.05" hidden="false" customHeight="false" outlineLevel="0" collapsed="false">
      <c r="A22" s="12" t="s">
        <v>131</v>
      </c>
      <c r="B22" s="12" t="s">
        <v>11</v>
      </c>
      <c r="C22" s="12" t="s">
        <v>132</v>
      </c>
      <c r="D22" s="12" t="s">
        <v>133</v>
      </c>
      <c r="E22" s="12" t="s">
        <v>134</v>
      </c>
      <c r="F22" s="12" t="s">
        <v>135</v>
      </c>
      <c r="G22" s="12" t="s">
        <v>136</v>
      </c>
      <c r="H22" s="12" t="s">
        <v>137</v>
      </c>
      <c r="I22" s="12" t="s">
        <v>38</v>
      </c>
      <c r="J22" s="12" t="s">
        <v>138</v>
      </c>
      <c r="K22" s="10" t="s">
        <v>5</v>
      </c>
      <c r="L22" s="10" t="s">
        <v>40</v>
      </c>
      <c r="M22" s="11" t="n">
        <v>46301</v>
      </c>
      <c r="N22" s="10"/>
    </row>
    <row r="23" customFormat="false" ht="23.85" hidden="false" customHeight="false" outlineLevel="0" collapsed="false">
      <c r="A23" s="9" t="s">
        <v>139</v>
      </c>
      <c r="B23" s="9" t="s">
        <v>11</v>
      </c>
      <c r="C23" s="9" t="s">
        <v>132</v>
      </c>
      <c r="D23" s="9" t="s">
        <v>140</v>
      </c>
      <c r="E23" s="9" t="s">
        <v>66</v>
      </c>
      <c r="F23" s="9" t="s">
        <v>141</v>
      </c>
      <c r="G23" s="9" t="s">
        <v>66</v>
      </c>
      <c r="H23" s="9" t="s">
        <v>142</v>
      </c>
      <c r="I23" s="9" t="s">
        <v>38</v>
      </c>
      <c r="J23" s="9" t="s">
        <v>143</v>
      </c>
      <c r="K23" s="10" t="s">
        <v>5</v>
      </c>
      <c r="L23" s="10" t="s">
        <v>40</v>
      </c>
      <c r="M23" s="11" t="n">
        <v>46301</v>
      </c>
      <c r="N23" s="10"/>
    </row>
    <row r="24" customFormat="false" ht="23.85" hidden="false" customHeight="false" outlineLevel="0" collapsed="false">
      <c r="A24" s="12" t="s">
        <v>144</v>
      </c>
      <c r="B24" s="12" t="s">
        <v>11</v>
      </c>
      <c r="C24" s="12" t="s">
        <v>132</v>
      </c>
      <c r="D24" s="12" t="s">
        <v>145</v>
      </c>
      <c r="E24" s="12" t="s">
        <v>146</v>
      </c>
      <c r="F24" s="12" t="s">
        <v>147</v>
      </c>
      <c r="G24" s="12" t="s">
        <v>66</v>
      </c>
      <c r="H24" s="12" t="s">
        <v>148</v>
      </c>
      <c r="I24" s="12" t="s">
        <v>4</v>
      </c>
      <c r="J24" s="12"/>
      <c r="K24" s="10" t="s">
        <v>8</v>
      </c>
      <c r="L24" s="10"/>
      <c r="M24" s="11"/>
      <c r="N24" s="10"/>
    </row>
    <row r="25" customFormat="false" ht="35.05" hidden="false" customHeight="false" outlineLevel="0" collapsed="false">
      <c r="A25" s="9" t="s">
        <v>149</v>
      </c>
      <c r="B25" s="9" t="s">
        <v>11</v>
      </c>
      <c r="C25" s="9" t="s">
        <v>150</v>
      </c>
      <c r="D25" s="9" t="s">
        <v>151</v>
      </c>
      <c r="E25" s="9" t="s">
        <v>152</v>
      </c>
      <c r="F25" s="9" t="s">
        <v>153</v>
      </c>
      <c r="G25" s="9" t="s">
        <v>154</v>
      </c>
      <c r="H25" s="9" t="s">
        <v>155</v>
      </c>
      <c r="I25" s="9" t="s">
        <v>38</v>
      </c>
      <c r="J25" s="9" t="s">
        <v>156</v>
      </c>
      <c r="K25" s="10" t="s">
        <v>5</v>
      </c>
      <c r="L25" s="10" t="s">
        <v>40</v>
      </c>
      <c r="M25" s="11" t="n">
        <v>46301</v>
      </c>
      <c r="N25" s="10"/>
    </row>
    <row r="26" customFormat="false" ht="23.85" hidden="false" customHeight="false" outlineLevel="0" collapsed="false">
      <c r="A26" s="12" t="s">
        <v>157</v>
      </c>
      <c r="B26" s="12" t="s">
        <v>11</v>
      </c>
      <c r="C26" s="12" t="s">
        <v>150</v>
      </c>
      <c r="D26" s="12" t="s">
        <v>158</v>
      </c>
      <c r="E26" s="12" t="s">
        <v>159</v>
      </c>
      <c r="F26" s="12" t="s">
        <v>160</v>
      </c>
      <c r="G26" s="12" t="s">
        <v>66</v>
      </c>
      <c r="H26" s="12" t="s">
        <v>161</v>
      </c>
      <c r="I26" s="12" t="s">
        <v>38</v>
      </c>
      <c r="J26" s="12" t="s">
        <v>162</v>
      </c>
      <c r="K26" s="10" t="s">
        <v>5</v>
      </c>
      <c r="L26" s="10" t="s">
        <v>40</v>
      </c>
      <c r="M26" s="11" t="n">
        <v>46301</v>
      </c>
      <c r="N26" s="10"/>
    </row>
    <row r="27" customFormat="false" ht="23.85" hidden="false" customHeight="false" outlineLevel="0" collapsed="false">
      <c r="A27" s="9" t="s">
        <v>163</v>
      </c>
      <c r="B27" s="9" t="s">
        <v>11</v>
      </c>
      <c r="C27" s="9" t="s">
        <v>150</v>
      </c>
      <c r="D27" s="9" t="s">
        <v>164</v>
      </c>
      <c r="E27" s="9" t="s">
        <v>159</v>
      </c>
      <c r="F27" s="9" t="s">
        <v>165</v>
      </c>
      <c r="G27" s="9" t="s">
        <v>66</v>
      </c>
      <c r="H27" s="9" t="s">
        <v>166</v>
      </c>
      <c r="I27" s="9" t="s">
        <v>38</v>
      </c>
      <c r="J27" s="9" t="s">
        <v>162</v>
      </c>
      <c r="K27" s="10" t="s">
        <v>5</v>
      </c>
      <c r="L27" s="10" t="s">
        <v>40</v>
      </c>
      <c r="M27" s="11" t="n">
        <v>46301</v>
      </c>
      <c r="N27" s="10"/>
    </row>
    <row r="28" customFormat="false" ht="23.85" hidden="false" customHeight="false" outlineLevel="0" collapsed="false">
      <c r="A28" s="12" t="s">
        <v>167</v>
      </c>
      <c r="B28" s="12" t="s">
        <v>11</v>
      </c>
      <c r="C28" s="12" t="s">
        <v>150</v>
      </c>
      <c r="D28" s="12" t="s">
        <v>168</v>
      </c>
      <c r="E28" s="12" t="s">
        <v>169</v>
      </c>
      <c r="F28" s="12" t="s">
        <v>170</v>
      </c>
      <c r="G28" s="12" t="s">
        <v>66</v>
      </c>
      <c r="H28" s="12" t="s">
        <v>171</v>
      </c>
      <c r="I28" s="12" t="s">
        <v>38</v>
      </c>
      <c r="J28" s="12" t="s">
        <v>162</v>
      </c>
      <c r="K28" s="10" t="s">
        <v>5</v>
      </c>
      <c r="L28" s="10" t="s">
        <v>40</v>
      </c>
      <c r="M28" s="11" t="n">
        <v>46301</v>
      </c>
      <c r="N28" s="10"/>
    </row>
    <row r="29" customFormat="false" ht="23.85" hidden="false" customHeight="false" outlineLevel="0" collapsed="false">
      <c r="A29" s="9" t="s">
        <v>172</v>
      </c>
      <c r="B29" s="9" t="s">
        <v>11</v>
      </c>
      <c r="C29" s="9" t="s">
        <v>173</v>
      </c>
      <c r="D29" s="9" t="s">
        <v>174</v>
      </c>
      <c r="E29" s="9" t="s">
        <v>159</v>
      </c>
      <c r="F29" s="9" t="s">
        <v>175</v>
      </c>
      <c r="G29" s="9" t="s">
        <v>66</v>
      </c>
      <c r="H29" s="9" t="s">
        <v>176</v>
      </c>
      <c r="I29" s="9" t="s">
        <v>4</v>
      </c>
      <c r="J29" s="9"/>
      <c r="K29" s="10" t="s">
        <v>8</v>
      </c>
      <c r="L29" s="10"/>
      <c r="M29" s="11"/>
      <c r="N29" s="10"/>
    </row>
    <row r="30" customFormat="false" ht="15" hidden="false" customHeight="false" outlineLevel="0" collapsed="false">
      <c r="A30" s="12" t="s">
        <v>177</v>
      </c>
      <c r="B30" s="12" t="s">
        <v>11</v>
      </c>
      <c r="C30" s="12" t="s">
        <v>126</v>
      </c>
      <c r="D30" s="12" t="s">
        <v>178</v>
      </c>
      <c r="E30" s="12" t="s">
        <v>66</v>
      </c>
      <c r="F30" s="12" t="s">
        <v>129</v>
      </c>
      <c r="G30" s="12" t="s">
        <v>66</v>
      </c>
      <c r="H30" s="12" t="s">
        <v>179</v>
      </c>
      <c r="I30" s="12" t="s">
        <v>4</v>
      </c>
      <c r="J30" s="12"/>
      <c r="K30" s="10" t="s">
        <v>8</v>
      </c>
      <c r="L30" s="10"/>
      <c r="M30" s="11"/>
      <c r="N30" s="10"/>
    </row>
    <row r="31" customFormat="false" ht="23.85" hidden="false" customHeight="false" outlineLevel="0" collapsed="false">
      <c r="A31" s="9" t="s">
        <v>180</v>
      </c>
      <c r="B31" s="9" t="s">
        <v>12</v>
      </c>
      <c r="C31" s="9" t="s">
        <v>181</v>
      </c>
      <c r="D31" s="9" t="s">
        <v>182</v>
      </c>
      <c r="E31" s="9" t="s">
        <v>183</v>
      </c>
      <c r="F31" s="9" t="s">
        <v>184</v>
      </c>
      <c r="G31" s="9" t="s">
        <v>66</v>
      </c>
      <c r="H31" s="9" t="s">
        <v>185</v>
      </c>
      <c r="I31" s="9" t="s">
        <v>38</v>
      </c>
      <c r="J31" s="9" t="s">
        <v>186</v>
      </c>
      <c r="K31" s="10" t="s">
        <v>5</v>
      </c>
      <c r="L31" s="10" t="s">
        <v>40</v>
      </c>
      <c r="M31" s="11" t="n">
        <v>46301</v>
      </c>
      <c r="N31" s="10"/>
    </row>
    <row r="32" customFormat="false" ht="35.05" hidden="false" customHeight="false" outlineLevel="0" collapsed="false">
      <c r="A32" s="12" t="s">
        <v>187</v>
      </c>
      <c r="B32" s="12" t="s">
        <v>12</v>
      </c>
      <c r="C32" s="12" t="s">
        <v>181</v>
      </c>
      <c r="D32" s="12" t="s">
        <v>188</v>
      </c>
      <c r="E32" s="12" t="s">
        <v>189</v>
      </c>
      <c r="F32" s="12" t="s">
        <v>190</v>
      </c>
      <c r="G32" s="12" t="s">
        <v>66</v>
      </c>
      <c r="H32" s="12" t="s">
        <v>191</v>
      </c>
      <c r="I32" s="12" t="s">
        <v>38</v>
      </c>
      <c r="J32" s="12" t="s">
        <v>192</v>
      </c>
      <c r="K32" s="10" t="s">
        <v>5</v>
      </c>
      <c r="L32" s="10" t="s">
        <v>40</v>
      </c>
      <c r="M32" s="11" t="n">
        <v>46301</v>
      </c>
      <c r="N32" s="10"/>
    </row>
    <row r="33" customFormat="false" ht="23.85" hidden="false" customHeight="false" outlineLevel="0" collapsed="false">
      <c r="A33" s="9" t="s">
        <v>193</v>
      </c>
      <c r="B33" s="9" t="s">
        <v>12</v>
      </c>
      <c r="C33" s="9" t="s">
        <v>181</v>
      </c>
      <c r="D33" s="9" t="s">
        <v>194</v>
      </c>
      <c r="E33" s="9" t="s">
        <v>195</v>
      </c>
      <c r="F33" s="9" t="s">
        <v>196</v>
      </c>
      <c r="G33" s="9" t="s">
        <v>66</v>
      </c>
      <c r="H33" s="9" t="s">
        <v>197</v>
      </c>
      <c r="I33" s="9" t="s">
        <v>38</v>
      </c>
      <c r="J33" s="9" t="s">
        <v>198</v>
      </c>
      <c r="K33" s="10" t="s">
        <v>5</v>
      </c>
      <c r="L33" s="10" t="s">
        <v>40</v>
      </c>
      <c r="M33" s="11" t="n">
        <v>46301</v>
      </c>
      <c r="N33" s="10"/>
    </row>
    <row r="34" customFormat="false" ht="23.85" hidden="false" customHeight="false" outlineLevel="0" collapsed="false">
      <c r="A34" s="12" t="s">
        <v>199</v>
      </c>
      <c r="B34" s="12" t="s">
        <v>12</v>
      </c>
      <c r="C34" s="12" t="s">
        <v>181</v>
      </c>
      <c r="D34" s="12" t="s">
        <v>200</v>
      </c>
      <c r="E34" s="12" t="s">
        <v>201</v>
      </c>
      <c r="F34" s="12" t="s">
        <v>202</v>
      </c>
      <c r="G34" s="12" t="s">
        <v>66</v>
      </c>
      <c r="H34" s="12" t="s">
        <v>203</v>
      </c>
      <c r="I34" s="12" t="s">
        <v>4</v>
      </c>
      <c r="J34" s="12"/>
      <c r="K34" s="10" t="s">
        <v>8</v>
      </c>
      <c r="L34" s="10"/>
      <c r="M34" s="11"/>
      <c r="N34" s="10"/>
    </row>
    <row r="35" customFormat="false" ht="15" hidden="false" customHeight="false" outlineLevel="0" collapsed="false">
      <c r="A35" s="9" t="s">
        <v>204</v>
      </c>
      <c r="B35" s="9" t="s">
        <v>12</v>
      </c>
      <c r="C35" s="9" t="s">
        <v>181</v>
      </c>
      <c r="D35" s="9" t="s">
        <v>205</v>
      </c>
      <c r="E35" s="9" t="s">
        <v>206</v>
      </c>
      <c r="F35" s="9" t="s">
        <v>196</v>
      </c>
      <c r="G35" s="9" t="s">
        <v>66</v>
      </c>
      <c r="H35" s="9" t="s">
        <v>207</v>
      </c>
      <c r="I35" s="9" t="s">
        <v>4</v>
      </c>
      <c r="J35" s="9"/>
      <c r="K35" s="10" t="s">
        <v>8</v>
      </c>
      <c r="L35" s="10"/>
      <c r="M35" s="11"/>
      <c r="N35" s="10"/>
    </row>
    <row r="36" customFormat="false" ht="15" hidden="false" customHeight="false" outlineLevel="0" collapsed="false">
      <c r="A36" s="12" t="s">
        <v>208</v>
      </c>
      <c r="B36" s="12" t="s">
        <v>12</v>
      </c>
      <c r="C36" s="12" t="s">
        <v>209</v>
      </c>
      <c r="D36" s="12" t="s">
        <v>210</v>
      </c>
      <c r="E36" s="12" t="s">
        <v>211</v>
      </c>
      <c r="F36" s="12" t="s">
        <v>212</v>
      </c>
      <c r="G36" s="12" t="s">
        <v>66</v>
      </c>
      <c r="H36" s="12" t="s">
        <v>213</v>
      </c>
      <c r="I36" s="12" t="s">
        <v>4</v>
      </c>
      <c r="J36" s="12"/>
      <c r="K36" s="10" t="s">
        <v>8</v>
      </c>
      <c r="L36" s="10"/>
      <c r="M36" s="11"/>
      <c r="N36" s="10"/>
    </row>
    <row r="37" customFormat="false" ht="15" hidden="false" customHeight="false" outlineLevel="0" collapsed="false">
      <c r="A37" s="9" t="s">
        <v>214</v>
      </c>
      <c r="B37" s="9" t="s">
        <v>12</v>
      </c>
      <c r="C37" s="9" t="s">
        <v>209</v>
      </c>
      <c r="D37" s="9" t="s">
        <v>215</v>
      </c>
      <c r="E37" s="9" t="s">
        <v>216</v>
      </c>
      <c r="F37" s="9" t="s">
        <v>217</v>
      </c>
      <c r="G37" s="9" t="s">
        <v>66</v>
      </c>
      <c r="H37" s="9" t="s">
        <v>218</v>
      </c>
      <c r="I37" s="9" t="s">
        <v>4</v>
      </c>
      <c r="J37" s="9"/>
      <c r="K37" s="10" t="s">
        <v>8</v>
      </c>
      <c r="L37" s="10"/>
      <c r="M37" s="11"/>
      <c r="N37" s="10"/>
    </row>
    <row r="38" customFormat="false" ht="15" hidden="false" customHeight="false" outlineLevel="0" collapsed="false">
      <c r="A38" s="12" t="s">
        <v>219</v>
      </c>
      <c r="B38" s="12" t="s">
        <v>12</v>
      </c>
      <c r="C38" s="12" t="s">
        <v>209</v>
      </c>
      <c r="D38" s="12" t="s">
        <v>220</v>
      </c>
      <c r="E38" s="12" t="s">
        <v>66</v>
      </c>
      <c r="F38" s="12" t="s">
        <v>221</v>
      </c>
      <c r="G38" s="12" t="s">
        <v>66</v>
      </c>
      <c r="H38" s="12" t="s">
        <v>222</v>
      </c>
      <c r="I38" s="12" t="s">
        <v>4</v>
      </c>
      <c r="J38" s="12"/>
      <c r="K38" s="10" t="s">
        <v>8</v>
      </c>
      <c r="L38" s="10"/>
      <c r="M38" s="11"/>
      <c r="N38" s="10"/>
    </row>
    <row r="39" customFormat="false" ht="15" hidden="false" customHeight="false" outlineLevel="0" collapsed="false">
      <c r="A39" s="9" t="s">
        <v>223</v>
      </c>
      <c r="B39" s="9" t="s">
        <v>12</v>
      </c>
      <c r="C39" s="9" t="s">
        <v>209</v>
      </c>
      <c r="D39" s="9" t="s">
        <v>224</v>
      </c>
      <c r="E39" s="9" t="s">
        <v>225</v>
      </c>
      <c r="F39" s="9" t="s">
        <v>226</v>
      </c>
      <c r="G39" s="9" t="s">
        <v>66</v>
      </c>
      <c r="H39" s="9" t="s">
        <v>227</v>
      </c>
      <c r="I39" s="9" t="s">
        <v>4</v>
      </c>
      <c r="J39" s="9"/>
      <c r="K39" s="10" t="s">
        <v>8</v>
      </c>
      <c r="L39" s="10"/>
      <c r="M39" s="11"/>
      <c r="N39" s="10"/>
    </row>
    <row r="40" customFormat="false" ht="23.85" hidden="false" customHeight="false" outlineLevel="0" collapsed="false">
      <c r="A40" s="12" t="s">
        <v>228</v>
      </c>
      <c r="B40" s="12" t="s">
        <v>13</v>
      </c>
      <c r="C40" s="12" t="s">
        <v>229</v>
      </c>
      <c r="D40" s="12" t="s">
        <v>230</v>
      </c>
      <c r="E40" s="12" t="s">
        <v>231</v>
      </c>
      <c r="F40" s="12" t="s">
        <v>232</v>
      </c>
      <c r="G40" s="12" t="s">
        <v>66</v>
      </c>
      <c r="H40" s="12" t="s">
        <v>233</v>
      </c>
      <c r="I40" s="12" t="s">
        <v>4</v>
      </c>
      <c r="J40" s="12"/>
      <c r="K40" s="10" t="s">
        <v>8</v>
      </c>
      <c r="L40" s="10"/>
      <c r="M40" s="11"/>
      <c r="N40" s="10"/>
    </row>
    <row r="41" customFormat="false" ht="15" hidden="false" customHeight="false" outlineLevel="0" collapsed="false">
      <c r="A41" s="9" t="s">
        <v>234</v>
      </c>
      <c r="B41" s="9" t="s">
        <v>13</v>
      </c>
      <c r="C41" s="9" t="s">
        <v>229</v>
      </c>
      <c r="D41" s="9" t="s">
        <v>235</v>
      </c>
      <c r="E41" s="9" t="s">
        <v>189</v>
      </c>
      <c r="F41" s="9" t="s">
        <v>236</v>
      </c>
      <c r="G41" s="9" t="s">
        <v>66</v>
      </c>
      <c r="H41" s="9" t="s">
        <v>237</v>
      </c>
      <c r="I41" s="9" t="s">
        <v>4</v>
      </c>
      <c r="J41" s="9"/>
      <c r="K41" s="10" t="s">
        <v>8</v>
      </c>
      <c r="L41" s="10"/>
      <c r="M41" s="11"/>
      <c r="N41" s="10"/>
    </row>
    <row r="42" customFormat="false" ht="23.85" hidden="false" customHeight="false" outlineLevel="0" collapsed="false">
      <c r="A42" s="12" t="s">
        <v>238</v>
      </c>
      <c r="B42" s="12" t="s">
        <v>13</v>
      </c>
      <c r="C42" s="12" t="s">
        <v>229</v>
      </c>
      <c r="D42" s="12" t="s">
        <v>239</v>
      </c>
      <c r="E42" s="12" t="s">
        <v>240</v>
      </c>
      <c r="F42" s="12" t="s">
        <v>196</v>
      </c>
      <c r="G42" s="12" t="s">
        <v>66</v>
      </c>
      <c r="H42" s="12" t="s">
        <v>241</v>
      </c>
      <c r="I42" s="12" t="s">
        <v>4</v>
      </c>
      <c r="J42" s="12"/>
      <c r="K42" s="10" t="s">
        <v>8</v>
      </c>
      <c r="L42" s="10"/>
      <c r="M42" s="11"/>
      <c r="N42" s="10"/>
    </row>
    <row r="43" customFormat="false" ht="23.85" hidden="false" customHeight="false" outlineLevel="0" collapsed="false">
      <c r="A43" s="9" t="s">
        <v>242</v>
      </c>
      <c r="B43" s="9" t="s">
        <v>13</v>
      </c>
      <c r="C43" s="9" t="s">
        <v>229</v>
      </c>
      <c r="D43" s="9" t="s">
        <v>243</v>
      </c>
      <c r="E43" s="9" t="s">
        <v>244</v>
      </c>
      <c r="F43" s="9" t="s">
        <v>245</v>
      </c>
      <c r="G43" s="9" t="s">
        <v>66</v>
      </c>
      <c r="H43" s="9" t="s">
        <v>246</v>
      </c>
      <c r="I43" s="9" t="s">
        <v>4</v>
      </c>
      <c r="J43" s="9"/>
      <c r="K43" s="10" t="s">
        <v>8</v>
      </c>
      <c r="L43" s="10"/>
      <c r="M43" s="11"/>
      <c r="N43" s="10"/>
    </row>
    <row r="44" customFormat="false" ht="23.85" hidden="false" customHeight="false" outlineLevel="0" collapsed="false">
      <c r="A44" s="12" t="s">
        <v>247</v>
      </c>
      <c r="B44" s="12" t="s">
        <v>14</v>
      </c>
      <c r="C44" s="12" t="s">
        <v>14</v>
      </c>
      <c r="D44" s="12" t="s">
        <v>248</v>
      </c>
      <c r="E44" s="12" t="s">
        <v>249</v>
      </c>
      <c r="F44" s="12" t="s">
        <v>250</v>
      </c>
      <c r="G44" s="12" t="s">
        <v>66</v>
      </c>
      <c r="H44" s="12" t="s">
        <v>251</v>
      </c>
      <c r="I44" s="12" t="s">
        <v>4</v>
      </c>
      <c r="J44" s="12"/>
      <c r="K44" s="10" t="s">
        <v>8</v>
      </c>
      <c r="L44" s="10"/>
      <c r="M44" s="11"/>
      <c r="N44" s="10"/>
    </row>
    <row r="45" customFormat="false" ht="23.85" hidden="false" customHeight="false" outlineLevel="0" collapsed="false">
      <c r="A45" s="9" t="s">
        <v>252</v>
      </c>
      <c r="B45" s="9" t="s">
        <v>14</v>
      </c>
      <c r="C45" s="9" t="s">
        <v>14</v>
      </c>
      <c r="D45" s="9" t="s">
        <v>253</v>
      </c>
      <c r="E45" s="9" t="s">
        <v>254</v>
      </c>
      <c r="F45" s="9" t="s">
        <v>255</v>
      </c>
      <c r="G45" s="9" t="s">
        <v>66</v>
      </c>
      <c r="H45" s="9" t="s">
        <v>256</v>
      </c>
      <c r="I45" s="9" t="s">
        <v>4</v>
      </c>
      <c r="J45" s="9"/>
      <c r="K45" s="10" t="s">
        <v>8</v>
      </c>
      <c r="L45" s="10"/>
      <c r="M45" s="11"/>
      <c r="N45" s="10"/>
    </row>
  </sheetData>
  <autoFilter ref="A4:N45"/>
  <conditionalFormatting sqref="K5:K45">
    <cfRule type="cellIs" priority="2" operator="equal" aboveAverage="0" equalAverage="0" bottom="0" percent="0" rank="0" text="" dxfId="6">
      <formula>"Pass"</formula>
    </cfRule>
    <cfRule type="cellIs" priority="3" operator="equal" aboveAverage="0" equalAverage="0" bottom="0" percent="0" rank="0" text="" dxfId="7">
      <formula>"Fail"</formula>
    </cfRule>
    <cfRule type="cellIs" priority="4" operator="equal" aboveAverage="0" equalAverage="0" bottom="0" percent="0" rank="0" text="" dxfId="8">
      <formula>"Blocked"</formula>
    </cfRule>
  </conditionalFormatting>
  <dataValidations count="1">
    <dataValidation allowBlank="true" errorStyle="stop" operator="between" showDropDown="false" showErrorMessage="false" showInputMessage="false" sqref="K5:K45" type="list">
      <formula1>"Pass,Fail,Not run,Blocked"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2026-10-05T22:44:19Z</dcterms:created>
  <dc:creator>openpyxl</dc:creator>
  <dc:description/>
  <dc:language>en-US</dc:language>
  <cp:lastModifiedBy/>
  <dcterms:modified xsi:type="dcterms:W3CDTF">2026-10-05T22:44:19Z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